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" sheetId="1" state="visible" r:id="rId1"/>
    <sheet xmlns:r="http://schemas.openxmlformats.org/officeDocument/2006/relationships" name="4-Month Target" sheetId="2" state="visible" r:id="rId2"/>
    <sheet xmlns:r="http://schemas.openxmlformats.org/officeDocument/2006/relationships" name="Activity Log" sheetId="3" state="visible" r:id="rId3"/>
    <sheet xmlns:r="http://schemas.openxmlformats.org/officeDocument/2006/relationships" name="Update Log" sheetId="4" state="visible" r:id="rId4"/>
  </sheets>
  <definedNames>
    <definedName name="_xlnm._FilterDatabase" localSheetId="0" hidden="1">'Pipeline'!$A$1:$L$8</definedName>
    <definedName name="_xlnm._FilterDatabase" localSheetId="1" hidden="1">'4-Month Target'!$A$1:$E$5</definedName>
    <definedName name="_xlnm._FilterDatabase" localSheetId="2" hidden="1">'Activity Log'!$A$1:$I$2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#,##0;[Red](#,##0);-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000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9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  <author>OpenClaw</author>
  </authors>
  <commentList>
    <comment ref="B5" authorId="0" shapeId="0">
      <text>
        <t>Source: user-reported update in Codex on 2026-08-29. Loss reason: Atlas incumbent/local supplier. Exact winning Atlas offer not provided.</t>
      </text>
    </comment>
    <comment ref="B6" authorId="1" shapeId="0">
      <text>
        <t>Source: user-reported Telegram update on 2026-09-01; reason not provided.</t>
      </text>
    </comment>
    <comment ref="B7" authorId="1" shapeId="0">
      <text>
        <t>Source: user-reported Telegram update on 2026-09-01; customer retained existing supplier.</t>
      </text>
    </comment>
    <comment ref="B8" authorId="1" shapeId="0">
      <text>
        <t>Source: user-reported Telegram update on 2026-09-01; lost to Rinos.</t>
      </text>
    </comment>
  </commentList>
</comments>
</file>

<file path=xl/tables/table1.xml><?xml version="1.0" encoding="utf-8"?>
<table xmlns="http://schemas.openxmlformats.org/spreadsheetml/2006/main" id="1" name="PipelineTable" displayName="PipelineTable" ref="A1:L4" headerRowCount="1">
  <autoFilter ref="A1:L4"/>
  <tableColumns count="12">
    <tableColumn id="1" name="Company"/>
    <tableColumn id="2" name="Sales Stage"/>
    <tableColumn id="3" name="Deal Type"/>
    <tableColumn id="4" name="Quoted Value (THB)"/>
    <tableColumn id="5" name="Probability"/>
    <tableColumn id="6" name="Weighted Value (THB)"/>
    <tableColumn id="7" name="Expected Close Date"/>
    <tableColumn id="8" name="Next Action"/>
    <tableColumn id="9" name="Evidence Tier"/>
    <tableColumn id="10" name="Evidence"/>
    <tableColumn id="11" name="Source File"/>
    <tableColumn id="12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MonthlyTargetTable" displayName="MonthlyTargetTable" ref="A1:E5" headerRowCount="1">
  <autoFilter ref="A1:E5"/>
  <tableColumns count="5">
    <tableColumn id="1" name="Month"/>
    <tableColumn id="2" name="Revenue Target (THB)"/>
    <tableColumn id="3" name="Actual Closed Sales (THB)"/>
    <tableColumn id="4" name="Gap (THB)"/>
    <tableColumn id="5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ctivityLogTable" displayName="ActivityLogTable" ref="A1:I3" headerRowCount="1">
  <autoFilter ref="A1:I2"/>
  <tableColumns count="9">
    <tableColumn id="1" name="Date"/>
    <tableColumn id="2" name="New Leads"/>
    <tableColumn id="3" name="Calls"/>
    <tableColumn id="4" name="Contacts Reached"/>
    <tableColumn id="5" name="Site Visits"/>
    <tableColumn id="6" name="Quotations Sent"/>
    <tableColumn id="7" name="Orders Closed"/>
    <tableColumn id="8" name="Closed Sales (THB)"/>
    <tableColumn id="9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UpdateLogTable" displayName="UpdateLogTable" ref="A1:J2" headerRowCount="1">
  <autoFilter ref="A1:J2"/>
  <tableColumns count="10">
    <tableColumn id="1" name="Update Date"/>
    <tableColumn id="2" name="Activity Date"/>
    <tableColumn id="3" name="Company"/>
    <tableColumn id="4" name="Event"/>
    <tableColumn id="5" name="Duration"/>
    <tableColumn id="6" name="Stage Before"/>
    <tableColumn id="7" name="Stage After"/>
    <tableColumn id="8" name="Evidence Tier"/>
    <tableColumn id="9" name="Next Action"/>
    <tableColumn id="10" name="Sourc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 rightToLeft="false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0" customWidth="1" min="3" max="3"/>
    <col width="20" customWidth="1" min="4" max="4"/>
    <col width="14" customWidth="1" min="5" max="5"/>
    <col width="22" customWidth="1" min="6" max="6"/>
    <col width="21" customWidth="1" min="7" max="7"/>
    <col width="55" customWidth="1" min="8" max="8"/>
    <col width="31" customWidth="1" min="9" max="9"/>
    <col width="55" customWidth="1" min="10" max="10"/>
    <col width="50" customWidth="1" min="11" max="11"/>
    <col width="20" customWidth="1" min="12" max="12"/>
  </cols>
  <sheetData>
    <row outlineLevel="0" r="1">
      <c r="A1" s="1" t="inlineStr">
        <is>
          <t>Company</t>
        </is>
      </c>
      <c r="B1" s="1" t="inlineStr">
        <is>
          <t>Sales Stage</t>
        </is>
      </c>
      <c r="C1" s="1" t="inlineStr">
        <is>
          <t>Deal Type</t>
        </is>
      </c>
      <c r="D1" s="1" t="inlineStr">
        <is>
          <t>Quoted Value (THB)</t>
        </is>
      </c>
      <c r="E1" s="1" t="inlineStr">
        <is>
          <t>Probability</t>
        </is>
      </c>
      <c r="F1" s="1" t="inlineStr">
        <is>
          <t>Weighted Value (THB)</t>
        </is>
      </c>
      <c r="G1" s="1" t="inlineStr">
        <is>
          <t>Expected Close Date</t>
        </is>
      </c>
      <c r="H1" s="1" t="inlineStr">
        <is>
          <t>Next Action</t>
        </is>
      </c>
      <c r="I1" s="1" t="inlineStr">
        <is>
          <t>Evidence Tier</t>
        </is>
      </c>
      <c r="J1" s="1" t="inlineStr">
        <is>
          <t>Evidence</t>
        </is>
      </c>
      <c r="K1" s="1" t="inlineStr">
        <is>
          <t>Source File</t>
        </is>
      </c>
      <c r="L1" s="1" t="inlineStr">
        <is>
          <t>Last Verified Date</t>
        </is>
      </c>
    </row>
    <row outlineLevel="0" r="2">
      <c r="A2" s="2" t="inlineStr">
        <is>
          <t>Nisco (Thailand) Co., Ltd.</t>
        </is>
      </c>
      <c r="B2" s="2" t="inlineStr">
        <is>
          <t>QUOTATION SENT</t>
        </is>
      </c>
      <c r="C2" s="2" t="inlineStr">
        <is>
          <t>Parts / Service / Air Filter</t>
        </is>
      </c>
      <c r="D2" s="3" t="n">
        <v>47187</v>
      </c>
      <c r="E2" s="4" t="n">
        <v/>
      </c>
      <c r="F2" s="3">
        <f>IF(OR(D2="",E2=""),"",D2*E2)</f>
        <v/>
      </c>
      <c r="G2" s="2" t="n">
        <v/>
      </c>
      <c r="H2" s="2" t="inlineStr">
        <is>
          <t>ติดต่อวันนี้ (02/09/2026): ยืนยันรับ QT2026080018; เช็คสถานะฝ่ายจัดซื้อ/วิศวกรรม; ขอชื่อผู้อนุมัติจริงและกรอบเวลาตัดสินใจ; หากยังไม่สรุป นัดติดตาม 09/09/2026</t>
        </is>
      </c>
      <c r="I2" s="2" t="inlineStr">
        <is>
          <t>DOCUMENT CONFIRMED</t>
        </is>
      </c>
      <c r="J2" s="2" t="inlineStr">
        <is>
          <t>ใบเสนอราคา QT2026080018 ลงวันที่ 25/08/2026; Grand Total รวม VAT 47,187 บาท</t>
        </is>
      </c>
      <c r="K2" s="2" t="inlineStr">
        <is>
          <t>QT2026080018_Nisco.pdf</t>
        </is>
      </c>
      <c r="L2" s="2" t="inlineStr">
        <is>
          <t>2026-08-25</t>
        </is>
      </c>
    </row>
    <row outlineLevel="0" r="3">
      <c r="A3" s="2" t="inlineStr">
        <is>
          <t>Atlas K Co., Ltd.</t>
        </is>
      </c>
      <c r="B3" s="2" t="inlineStr">
        <is>
          <t>DISCOVERY</t>
        </is>
      </c>
      <c r="C3" s="2" t="inlineStr">
        <is>
          <t>IoT efficiency assessment — 3-day data collection completed</t>
        </is>
      </c>
      <c r="D3" s="3" t="n">
        <v/>
      </c>
      <c r="E3" s="4" t="n">
        <v/>
      </c>
      <c r="F3" s="3">
        <f>IF(OR(D3="",E3=""),"",D3*E3)</f>
        <v/>
      </c>
      <c r="G3" s="2" t="n">
        <v/>
      </c>
      <c r="H3" s="2" t="inlineStr">
        <is>
          <t>ส่งข้อมูล IoT ระยะเวลา 3 วันให้ Engineer วิเคราะห์; จัดทำรายงานการใช้พลังงานในรูปแบบ Proposal; กำหนดวันส่งและนัดนำเสนอให้ลูกค้า</t>
        </is>
      </c>
      <c r="I3" s="2" t="inlineStr">
        <is>
          <t>USER REPORTED — 2026-08-29</t>
        </is>
      </c>
      <c r="J3" s="2" t="inlineStr">
        <is>
          <t>ผู้ใช้แจ้งว่ามีนัดเข้าหน้างานวันที่ 25 เพื่อเก็บข้อมูล; ยังไม่มีหลักฐานใบสั่งซื้อ | ผู้ใช้รายงาน: ลูกค้าให้ถอด IoT เมื่อ 28/08/2026 หลังติดตั้งเก็บข้อมูล 3 วัน; Engineer จะจัดทำรายงานการใช้พลังงานในรูปแบบ Proposal; ยังไม่มีหลักฐานว่าส่ง Proposal แล้ว</t>
        </is>
      </c>
      <c r="K3" s="2" t="inlineStr">
        <is>
          <t>Claude chat e6c743f8-5e89-470f-b178-25539cee48fe | User update 2026-08-29</t>
        </is>
      </c>
      <c r="L3" s="2" t="inlineStr">
        <is>
          <t>2026-08-29</t>
        </is>
      </c>
    </row>
    <row outlineLevel="0" r="4">
      <c r="A4" s="2" t="inlineStr">
        <is>
          <t>Fine Components</t>
        </is>
      </c>
      <c r="B4" s="2" t="inlineStr">
        <is>
          <t>PROSPECT</t>
        </is>
      </c>
      <c r="C4" s="2" t="inlineStr">
        <is>
          <t>Cold visit</t>
        </is>
      </c>
      <c r="D4" s="3" t="n">
        <v/>
      </c>
      <c r="E4" s="4" t="n">
        <v/>
      </c>
      <c r="F4" s="3">
        <f>IF(OR(D4="",E4=""),"",D4*E4)</f>
        <v/>
      </c>
      <c r="G4" s="2" t="n">
        <v/>
      </c>
      <c r="H4" s="2" t="inlineStr">
        <is>
          <t>ยืนยันนิติบุคคล สถานที่ และผลการเข้าพบก่อนเปลี่ยน Stage</t>
        </is>
      </c>
      <c r="I4" s="2" t="inlineStr">
        <is>
          <t>CLAUDE SUMMARY — MUST CONFIRM</t>
        </is>
      </c>
      <c r="J4" s="2" t="inlineStr">
        <is>
          <t>Claude ระบุเป็นจุดเยี่ยมที่สาม; ยังไม่มีหลักฐานการเข้าพบหรือข้อมูลเครื่อง</t>
        </is>
      </c>
      <c r="K4" s="2" t="inlineStr">
        <is>
          <t>Claude chat e6c743f8-5e89-470f-b178-25539cee48fe</t>
        </is>
      </c>
      <c r="L4" s="2" t="inlineStr">
        <is>
          <t>2026-08-22</t>
        </is>
      </c>
    </row>
    <row outlineLevel="0" r="5">
      <c r="A5" s="2" t="inlineStr">
        <is>
          <t>Electrolux Thailand Co., Ltd.</t>
        </is>
      </c>
      <c r="B5" s="2" t="inlineStr">
        <is>
          <t>LOST</t>
        </is>
      </c>
      <c r="C5" s="2" t="inlineStr">
        <is>
          <t>New compressed-air system / multiple quoted alternatives</t>
        </is>
      </c>
      <c r="D5" s="3" t="n">
        <v/>
      </c>
      <c r="E5" s="4" t="n">
        <v>0</v>
      </c>
      <c r="F5" s="3">
        <f>IF(OR(D5="",E5=""),"",D5*E5)</f>
        <v/>
      </c>
      <c r="G5" s="2" t="n">
        <v/>
      </c>
      <c r="H5" s="2" t="inlineStr">
        <is>
          <t>Record loss review; retain relationship for future service/backup opportunity; no active follow-up unless user updates</t>
        </is>
      </c>
      <c r="I5" s="2" t="inlineStr">
        <is>
          <t>USER REPORTED — 2026-08-29</t>
        </is>
      </c>
      <c r="J5" s="2" t="inlineStr">
        <is>
          <t>User reported latest status LOST; lost to Atlas as incumbent/local supplier. Multiple quotations remain historical evidence; no PO or closed sale.</t>
        </is>
      </c>
      <c r="K5" s="2" t="inlineStr">
        <is>
          <t>User update in Codex chat 2026-08-29 | companies/02_Electrolux_Thailand/</t>
        </is>
      </c>
      <c r="L5" s="2" t="inlineStr">
        <is>
          <t>2026-08-29</t>
        </is>
      </c>
    </row>
    <row outlineLevel="0" r="6">
      <c r="A6" s="2" t="inlineStr">
        <is>
          <t>Taihua New Energy (Thailand) Co., Ltd.</t>
        </is>
      </c>
      <c r="B6" s="2" t="inlineStr">
        <is>
          <t>LOST</t>
        </is>
      </c>
      <c r="C6" s="2" t="inlineStr">
        <is>
          <t>Equipment — TMV75 75kW; SDE-90D</t>
        </is>
      </c>
      <c r="D6" s="3" t="n">
        <v>888100</v>
      </c>
      <c r="E6" s="4" t="n">
        <v>0</v>
      </c>
      <c r="F6" s="3">
        <f>IF(OR(D6="",E6=""),"",D6*E6)</f>
        <v/>
      </c>
      <c r="G6" s="2" t="n">
        <v/>
      </c>
      <c r="H6" s="2" t="inlineStr">
        <is>
          <t>Record loss review; retain relationship only for future opportunity</t>
        </is>
      </c>
      <c r="I6" s="2" t="inlineStr">
        <is>
          <t>USER REPORTED — 2026-09-01</t>
        </is>
      </c>
      <c r="J6" s="2" t="inlineStr">
        <is>
          <t>User reported Taihua New Energy (Thailand) LOST; loss reason was not provided.</t>
        </is>
      </c>
      <c r="K6" s="2" t="inlineStr">
        <is>
          <t>User update in Telegram chat 2026-09-01 | QT2026070021</t>
        </is>
      </c>
      <c r="L6" s="2" t="inlineStr">
        <is>
          <t>2026-09-01</t>
        </is>
      </c>
    </row>
    <row outlineLevel="0" r="7">
      <c r="A7" s="2" t="inlineStr">
        <is>
          <t>Bakner Manufacturing (Thailand) Co., Ltd.</t>
        </is>
      </c>
      <c r="B7" s="2" t="inlineStr">
        <is>
          <t>LOST</t>
        </is>
      </c>
      <c r="C7" s="2" t="inlineStr">
        <is>
          <t>Equipment and maintenance quotations</t>
        </is>
      </c>
      <c r="D7" s="3" t="n">
        <v>460100</v>
      </c>
      <c r="E7" s="4" t="n">
        <v>0</v>
      </c>
      <c r="F7" s="3">
        <f>IF(OR(D7="",E7=""),"",D7*E7)</f>
        <v/>
      </c>
      <c r="G7" s="2" t="n">
        <v/>
      </c>
      <c r="H7" s="2" t="inlineStr">
        <is>
          <t>Record loss review; retain relationship only for future opportunity</t>
        </is>
      </c>
      <c r="I7" s="2" t="inlineStr">
        <is>
          <t>USER REPORTED — 2026-09-01</t>
        </is>
      </c>
      <c r="J7" s="2" t="inlineStr">
        <is>
          <t>User reported Bakner Manufacturing (Thailand) LOST to the customer's existing supplier.</t>
        </is>
      </c>
      <c r="K7" s="2" t="inlineStr">
        <is>
          <t>User update in Telegram chat 2026-09-01 | QT2026060017; QT2026060018</t>
        </is>
      </c>
      <c r="L7" s="2" t="inlineStr">
        <is>
          <t>2026-09-01</t>
        </is>
      </c>
    </row>
    <row outlineLevel="0" r="8">
      <c r="A8" s="2" t="inlineStr">
        <is>
          <t>The Pet Co., Ltd.</t>
        </is>
      </c>
      <c r="B8" s="2" t="inlineStr">
        <is>
          <t>LOST</t>
        </is>
      </c>
      <c r="C8" s="2" t="inlineStr">
        <is>
          <t>Equipment — TMV75T 75kW</t>
        </is>
      </c>
      <c r="D8" s="3" t="n">
        <v>1194120</v>
      </c>
      <c r="E8" s="4" t="n">
        <v>0</v>
      </c>
      <c r="F8" s="3">
        <f>IF(OR(D8="",E8=""),"",D8*E8)</f>
        <v/>
      </c>
      <c r="G8" s="2" t="n">
        <v/>
      </c>
      <c r="H8" s="2" t="inlineStr">
        <is>
          <t>Record loss review; retain relationship only for future opportunity</t>
        </is>
      </c>
      <c r="I8" s="2" t="inlineStr">
        <is>
          <t>USER REPORTED — 2026-09-01</t>
        </is>
      </c>
      <c r="J8" s="2" t="inlineStr">
        <is>
          <t>User reported The Pet Co., Ltd. LOST to Rinos.</t>
        </is>
      </c>
      <c r="K8" s="2" t="inlineStr">
        <is>
          <t>User update in Telegram chat 2026-09-01 | QT2026050009</t>
        </is>
      </c>
      <c r="L8" s="2" t="inlineStr">
        <is>
          <t>2026-09-01</t>
        </is>
      </c>
    </row>
    <row outlineLevel="0" r="9">
      <c r="A9" s="0" t="inlineStr">
        <is>
          <t>Siam Polymer Management Co., Ltd.</t>
        </is>
      </c>
      <c r="B9" s="0" t="inlineStr">
        <is>
          <t>QUOTATION SENT</t>
        </is>
      </c>
      <c r="C9" s="0" t="inlineStr">
        <is>
          <t>Air treatment — SDE-90D dryer and ARF/ARB/ARA-90A filters</t>
        </is>
      </c>
      <c r="D9" s="0">
        <v>282480</v>
      </c>
      <c r="H9" s="0" t="inlineStr">
        <is>
          <t>ติดต่อวันนี้ (02/09/2026): นัดตรวจ ZIGMA ZD75 ด่วน; เก็บอาการ แรงดัน High/Low กระแส อุณหภูมิลมเข้า/ออก dew point การระบายน้ำ และ actual flow; ยืนยันผู้อนุมัติและทบทวน QT2026070015 SDE-90D + ARF/ARB/ARA-90A</t>
        </is>
      </c>
      <c r="I9" s="0" t="inlineStr">
        <is>
          <t>DOCUMENT CONFIRMED + USER REPORTED — 2026-09-02</t>
        </is>
      </c>
      <c r="J9" s="0" t="inlineStr">
        <is>
          <t>QT2026070015 dated 15/07/2026; grand total incl. VAT 282,480 THB. User reports current ZIGMA ZD75 air-dryer problem on 02/09/2026.</t>
        </is>
      </c>
      <c r="K9" s="0" t="inlineStr">
        <is>
          <t>QT2026070015 SIAM POLYMER MANAGEMENT (TON).pdf | Telegram user update 2026-09-02</t>
        </is>
      </c>
      <c r="L9" s="0" t="inlineStr">
        <is>
          <t>2026-09-02</t>
        </is>
      </c>
    </row>
  </sheetData>
  <autoFilter ref="A1:L8"/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2" customWidth="1" min="2" max="2"/>
    <col width="27" customWidth="1" min="3" max="3"/>
    <col width="15" customWidth="1" min="4" max="4"/>
    <col width="47" customWidth="1" min="5" max="5"/>
  </cols>
  <sheetData>
    <row r="1">
      <c r="A1" s="1" t="inlineStr">
        <is>
          <t>Month</t>
        </is>
      </c>
      <c r="B1" s="1" t="inlineStr">
        <is>
          <t>Revenue Target (THB)</t>
        </is>
      </c>
      <c r="C1" s="1" t="inlineStr">
        <is>
          <t>Actual Closed Sales (THB)</t>
        </is>
      </c>
      <c r="D1" s="1" t="inlineStr">
        <is>
          <t>Gap (THB)</t>
        </is>
      </c>
      <c r="E1" s="1" t="inlineStr">
        <is>
          <t>Notes</t>
        </is>
      </c>
    </row>
    <row r="2">
      <c r="A2" s="2" t="inlineStr">
        <is>
          <t>Month 1</t>
        </is>
      </c>
      <c r="B2" s="3" t="n">
        <v>35000</v>
      </c>
      <c r="C2" s="5" t="n">
        <v>0</v>
      </c>
      <c r="D2" s="3">
        <f>MAX(B2-C2,0)</f>
        <v/>
      </c>
      <c r="E2" s="2" t="inlineStr">
        <is>
          <t>Actual ต้องเป็นยอดขายปิดจริง ไม่ใช่ใบเสนอราคา</t>
        </is>
      </c>
    </row>
    <row r="3">
      <c r="A3" s="2" t="inlineStr">
        <is>
          <t>Month 2</t>
        </is>
      </c>
      <c r="B3" s="3" t="n">
        <v>65000</v>
      </c>
      <c r="C3" s="5" t="n">
        <v>0</v>
      </c>
      <c r="D3" s="3">
        <f>MAX(B3-C3,0)</f>
        <v/>
      </c>
      <c r="E3" s="2" t="inlineStr">
        <is>
          <t>Actual ต้องเป็นยอดขายปิดจริง ไม่ใช่ใบเสนอราคา</t>
        </is>
      </c>
    </row>
    <row r="4">
      <c r="A4" s="2" t="inlineStr">
        <is>
          <t>Month 3</t>
        </is>
      </c>
      <c r="B4" s="3" t="n">
        <v>90000</v>
      </c>
      <c r="C4" s="5" t="n">
        <v>0</v>
      </c>
      <c r="D4" s="3">
        <f>MAX(B4-C4,0)</f>
        <v/>
      </c>
      <c r="E4" s="2" t="inlineStr">
        <is>
          <t>Actual ต้องเป็นยอดขายปิดจริง ไม่ใช่ใบเสนอราคา</t>
        </is>
      </c>
    </row>
    <row r="5">
      <c r="A5" s="2" t="inlineStr">
        <is>
          <t>Month 4</t>
        </is>
      </c>
      <c r="B5" s="3" t="n">
        <v>100000</v>
      </c>
      <c r="C5" s="5" t="n">
        <v>0</v>
      </c>
      <c r="D5" s="3">
        <f>MAX(B5-C5,0)</f>
        <v/>
      </c>
      <c r="E5" s="2" t="inlineStr">
        <is>
          <t>Actual ต้องเป็นยอดขายปิดจริง ไม่ใช่ใบเสนอราคา</t>
        </is>
      </c>
    </row>
  </sheetData>
  <autoFilter ref="A1:E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8" customWidth="1" min="3" max="3"/>
    <col width="18" customWidth="1" min="4" max="4"/>
    <col width="13" customWidth="1" min="5" max="5"/>
    <col width="17" customWidth="1" min="6" max="6"/>
    <col width="15" customWidth="1" min="7" max="7"/>
    <col width="20" customWidth="1" min="8" max="8"/>
    <col width="52" customWidth="1" min="9" max="9"/>
  </cols>
  <sheetData>
    <row r="1">
      <c r="A1" s="1" t="inlineStr">
        <is>
          <t>Date</t>
        </is>
      </c>
      <c r="B1" s="1" t="inlineStr">
        <is>
          <t>New Leads</t>
        </is>
      </c>
      <c r="C1" s="1" t="inlineStr">
        <is>
          <t>Calls</t>
        </is>
      </c>
      <c r="D1" s="1" t="inlineStr">
        <is>
          <t>Contacts Reached</t>
        </is>
      </c>
      <c r="E1" s="1" t="inlineStr">
        <is>
          <t>Site Visits</t>
        </is>
      </c>
      <c r="F1" s="1" t="inlineStr">
        <is>
          <t>Quotations Sent</t>
        </is>
      </c>
      <c r="G1" s="1" t="inlineStr">
        <is>
          <t>Orders Closed</t>
        </is>
      </c>
      <c r="H1" s="1" t="inlineStr">
        <is>
          <t>Closed Sales (THB)</t>
        </is>
      </c>
      <c r="I1" s="1" t="inlineStr">
        <is>
          <t>Notes</t>
        </is>
      </c>
    </row>
    <row r="2">
      <c r="A2" s="2" t="inlineStr">
        <is>
          <t>2026-08-29</t>
        </is>
      </c>
      <c r="B2" s="2" t="n">
        <v>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0</v>
      </c>
      <c r="H2" s="2" t="n">
        <v>0</v>
      </c>
      <c r="I2" s="2" t="inlineStr">
        <is>
          <t>ตัวอย่างแถว: แก้ไขตัวเลขสีน้ำเงินเมื่อมีข้อมูลจริง</t>
        </is>
      </c>
    </row>
    <row r="3">
      <c r="A3" s="2" t="inlineStr">
        <is>
          <t>2026-08-28</t>
        </is>
      </c>
      <c r="B3" s="2" t="n">
        <v>0</v>
      </c>
      <c r="C3" s="2" t="n">
        <v>0</v>
      </c>
      <c r="D3" s="2" t="n">
        <v>0</v>
      </c>
      <c r="E3" s="2" t="n">
        <v>1</v>
      </c>
      <c r="F3" s="2" t="n">
        <v>0</v>
      </c>
      <c r="G3" s="2" t="n">
        <v>0</v>
      </c>
      <c r="H3" s="2" t="n">
        <v>0</v>
      </c>
      <c r="I3" s="2" t="inlineStr">
        <is>
          <t>Atlas K: ผู้ใช้รายงานว่าถอด IoT ตามคำขอลูกค้า หลังเก็บข้อมูล 3 วัน; รอ Engineer วิเคราะห์และทำ Energy Usage Proposal</t>
        </is>
      </c>
    </row>
  </sheetData>
  <autoFilter ref="A1:I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 rightToLeft="false">
      <pane ySplit="1" topLeftCell="A2" activePane="bottomLeft" state="frozen"/>
      <selection pane="bottomLeft" activeCell="A1" sqref="A1"/>
    </sheetView>
  </sheetViews>
  <sheetFormatPr baseColWidth="8" defaultRowHeight="15"/>
  <sheetData>
    <row outlineLevel="0" r="1">
      <c r="A1" s="1" t="inlineStr">
        <is>
          <t>Update Date</t>
        </is>
      </c>
      <c r="B1" s="1" t="inlineStr">
        <is>
          <t>Activity Date</t>
        </is>
      </c>
      <c r="C1" s="1" t="inlineStr">
        <is>
          <t>Company</t>
        </is>
      </c>
      <c r="D1" s="1" t="inlineStr">
        <is>
          <t>Event</t>
        </is>
      </c>
      <c r="E1" s="1" t="inlineStr">
        <is>
          <t>Duration</t>
        </is>
      </c>
      <c r="F1" s="1" t="inlineStr">
        <is>
          <t>Stage Before</t>
        </is>
      </c>
      <c r="G1" s="1" t="inlineStr">
        <is>
          <t>Stage After</t>
        </is>
      </c>
      <c r="H1" s="1" t="inlineStr">
        <is>
          <t>Evidence Tier</t>
        </is>
      </c>
      <c r="I1" s="1" t="inlineStr">
        <is>
          <t>Next Action</t>
        </is>
      </c>
      <c r="J1" s="1" t="inlineStr">
        <is>
          <t>Source</t>
        </is>
      </c>
    </row>
    <row outlineLevel="0" r="2">
      <c r="A2" s="2" t="inlineStr">
        <is>
          <t>2026-08-29</t>
        </is>
      </c>
      <c r="B2" s="2" t="inlineStr">
        <is>
          <t>2026-08-28</t>
        </is>
      </c>
      <c r="C2" s="2" t="inlineStr">
        <is>
          <t>Atlas K Co., Ltd.</t>
        </is>
      </c>
      <c r="D2" s="2" t="inlineStr">
        <is>
          <t>IoT removed</t>
        </is>
      </c>
      <c r="E2" s="2" t="inlineStr">
        <is>
          <t>3 days installed/data collection</t>
        </is>
      </c>
      <c r="F2" s="2" t="inlineStr">
        <is>
          <t>DISCOVERY</t>
        </is>
      </c>
      <c r="G2" s="2" t="inlineStr">
        <is>
          <t>DISCOVERY</t>
        </is>
      </c>
      <c r="H2" s="2" t="inlineStr">
        <is>
          <t>USER REPORTED</t>
        </is>
      </c>
      <c r="I2" s="2" t="inlineStr">
        <is>
          <t>Engineer analyzes 3-day IoT data and prepares energy-usage Proposal; schedule delivery/presentation</t>
        </is>
      </c>
      <c r="J2" s="2" t="inlineStr">
        <is>
          <t>User update in Codex chat on 2026-08-29</t>
        </is>
      </c>
    </row>
    <row outlineLevel="0" r="3">
      <c r="A3" s="2" t="inlineStr">
        <is>
          <t>2026-08-29</t>
        </is>
      </c>
      <c r="B3" s="2" t="inlineStr">
        <is>
          <t>2026-08-29</t>
        </is>
      </c>
      <c r="C3" s="2" t="inlineStr">
        <is>
          <t>Electrolux Thailand Co., Ltd.</t>
        </is>
      </c>
      <c r="D3" s="2" t="inlineStr">
        <is>
          <t>Opportunity lost to Atlas (incumbent/local competitor)</t>
        </is>
      </c>
      <c r="E3" s="2" t="n">
        <v/>
      </c>
      <c r="F3" s="2" t="inlineStr">
        <is>
          <t>NOT RECORDED</t>
        </is>
      </c>
      <c r="G3" s="2" t="inlineStr">
        <is>
          <t>LOST</t>
        </is>
      </c>
      <c r="H3" s="2" t="inlineStr">
        <is>
          <t>USER REPORTED</t>
        </is>
      </c>
      <c r="I3" s="2" t="inlineStr">
        <is>
          <t>Record loss review and preserve relationship for future service/backup opportunity</t>
        </is>
      </c>
      <c r="J3" s="2" t="inlineStr">
        <is>
          <t>User update in Codex chat on 2026-08-29</t>
        </is>
      </c>
    </row>
    <row outlineLevel="0" r="4">
      <c r="A4" s="2" t="inlineStr">
        <is>
          <t>2026-09-01</t>
        </is>
      </c>
      <c r="B4" s="2" t="inlineStr">
        <is>
          <t>2026-09-01</t>
        </is>
      </c>
      <c r="C4" s="2" t="inlineStr">
        <is>
          <t>Taihua New Energy (Thailand) Co., Ltd.</t>
        </is>
      </c>
      <c r="D4" s="2" t="inlineStr">
        <is>
          <t>Opportunity reported lost — reason not provided</t>
        </is>
      </c>
      <c r="E4" s="2" t="n">
        <v/>
      </c>
      <c r="F4" s="2" t="inlineStr">
        <is>
          <t>NOT RECORDED</t>
        </is>
      </c>
      <c r="G4" s="2" t="inlineStr">
        <is>
          <t>LOST</t>
        </is>
      </c>
      <c r="H4" s="2" t="inlineStr">
        <is>
          <t>USER REPORTED</t>
        </is>
      </c>
      <c r="I4" s="2" t="inlineStr">
        <is>
          <t>Record loss review; preserve relationship for future opportunity</t>
        </is>
      </c>
      <c r="J4" s="2" t="inlineStr">
        <is>
          <t>User update in Telegram chat on 2026-09-01</t>
        </is>
      </c>
    </row>
    <row outlineLevel="0" r="5">
      <c r="A5" s="2" t="inlineStr">
        <is>
          <t>2026-09-01</t>
        </is>
      </c>
      <c r="B5" s="2" t="inlineStr">
        <is>
          <t>2026-09-01</t>
        </is>
      </c>
      <c r="C5" s="2" t="inlineStr">
        <is>
          <t>Bakner Manufacturing (Thailand) Co., Ltd.</t>
        </is>
      </c>
      <c r="D5" s="2" t="inlineStr">
        <is>
          <t>Opportunity reported lost — customer retained existing supplier</t>
        </is>
      </c>
      <c r="E5" s="2" t="n">
        <v/>
      </c>
      <c r="F5" s="2" t="inlineStr">
        <is>
          <t>NOT RECORDED</t>
        </is>
      </c>
      <c r="G5" s="2" t="inlineStr">
        <is>
          <t>LOST</t>
        </is>
      </c>
      <c r="H5" s="2" t="inlineStr">
        <is>
          <t>USER REPORTED</t>
        </is>
      </c>
      <c r="I5" s="2" t="inlineStr">
        <is>
          <t>Record loss review; preserve relationship for future opportunity</t>
        </is>
      </c>
      <c r="J5" s="2" t="inlineStr">
        <is>
          <t>User update in Telegram chat on 2026-09-01</t>
        </is>
      </c>
    </row>
    <row outlineLevel="0" r="6">
      <c r="A6" s="2" t="inlineStr">
        <is>
          <t>2026-09-01</t>
        </is>
      </c>
      <c r="B6" s="2" t="inlineStr">
        <is>
          <t>2026-09-01</t>
        </is>
      </c>
      <c r="C6" s="2" t="inlineStr">
        <is>
          <t>The Pet Co., Ltd.</t>
        </is>
      </c>
      <c r="D6" s="2" t="inlineStr">
        <is>
          <t>Opportunity reported lost — lost to Rinos</t>
        </is>
      </c>
      <c r="E6" s="2" t="n">
        <v/>
      </c>
      <c r="F6" s="2" t="inlineStr">
        <is>
          <t>NOT RECORDED</t>
        </is>
      </c>
      <c r="G6" s="2" t="inlineStr">
        <is>
          <t>LOST</t>
        </is>
      </c>
      <c r="H6" s="2" t="inlineStr">
        <is>
          <t>USER REPORTED</t>
        </is>
      </c>
      <c r="I6" s="2" t="inlineStr">
        <is>
          <t>Record loss review; preserve relationship for future opportunity</t>
        </is>
      </c>
      <c r="J6" s="2" t="inlineStr">
        <is>
          <t>User update in Telegram chat on 2026-09-01</t>
        </is>
      </c>
    </row>
    <row outlineLevel="0" r="7">
      <c r="A7" s="0" t="inlineStr">
        <is>
          <t>2026-09-02</t>
        </is>
      </c>
      <c r="B7" s="0" t="inlineStr">
        <is>
          <t>2026-09-02</t>
        </is>
      </c>
      <c r="C7" s="0" t="inlineStr">
        <is>
          <t>Nisco (Thailand) Co., Ltd.</t>
        </is>
      </c>
      <c r="D7" s="0" t="inlineStr">
        <is>
          <t>Follow-up cadence review: 8 days since QT2026080018; customer contact not yet recorded</t>
        </is>
      </c>
      <c r="F7" s="0" t="inlineStr">
        <is>
          <t>QUOTATION SENT</t>
        </is>
      </c>
      <c r="G7" s="0" t="inlineStr">
        <is>
          <t>QUOTATION SENT</t>
        </is>
      </c>
      <c r="H7" s="0" t="inlineStr">
        <is>
          <t>DOCUMENT CONFIRMED</t>
        </is>
      </c>
      <c r="I7" s="0" t="inlineStr">
        <is>
          <t>ติดต่อวันนี้ (02/09/2026): ยืนยันรับ QT2026080018; เช็คสถานะฝ่ายจัดซื้อ/วิศวกรรม; ขอชื่อผู้อนุมัติจริงและกรอบเวลาตัดสินใจ; หากยังไม่สรุป นัดติดตาม 09/09/2026</t>
        </is>
      </c>
      <c r="J7" s="0" t="inlineStr">
        <is>
          <t>Pipeline analysis 2026-09-02 | QT2026080018_Nisco.pdf</t>
        </is>
      </c>
    </row>
    <row outlineLevel="0" r="8">
      <c r="A8" s="0" t="inlineStr">
        <is>
          <t>2026-09-02</t>
        </is>
      </c>
      <c r="B8" s="0" t="inlineStr">
        <is>
          <t>2026-09-02</t>
        </is>
      </c>
      <c r="C8" s="0" t="inlineStr">
        <is>
          <t>Siam Polymer Management Co., Ltd.</t>
        </is>
      </c>
      <c r="D8" s="0" t="inlineStr">
        <is>
          <t>Current ZIGMA ZD75 air-dryer problem reported; existing quotation reactivated</t>
        </is>
      </c>
      <c r="F8" s="0" t="inlineStr">
        <is>
          <t>NOT RECORDED</t>
        </is>
      </c>
      <c r="G8" s="0" t="inlineStr">
        <is>
          <t>QUOTATION SENT</t>
        </is>
      </c>
      <c r="H8" s="0" t="inlineStr">
        <is>
          <t>DOCUMENT CONFIRMED + USER REPORTED</t>
        </is>
      </c>
      <c r="I8" s="0" t="inlineStr">
        <is>
          <t>ติดต่อวันนี้ (02/09/2026): นัดตรวจ ZIGMA ZD75 ด่วน; เก็บอาการ แรงดัน High/Low กระแส อุณหภูมิลมเข้า/ออก dew point การระบายน้ำ และ actual flow; ยืนยันผู้อนุมัติและทบทวน QT2026070015</t>
        </is>
      </c>
      <c r="J8" s="0" t="inlineStr">
        <is>
          <t>Telegram user update 2026-09-02 | QT2026070015 SIAM POLYMER MANAGEMENT (TON).pdf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AppVersion>3.0001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2026-08-29T14:39:27Z</dcterms:created>
  <dcterms:modified xsi:type="dcterms:W3CDTF">2026-09-02T14:17:38Z</dcterms:modified>
</cp:coreProperties>
</file>